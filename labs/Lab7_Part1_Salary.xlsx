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 заработной платы" sheetId="1" state="visible" r:id="rId1"/>
    <sheet xmlns:r="http://schemas.openxmlformats.org/officeDocument/2006/relationships" name="Сотруд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₽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Заработная плата сотрудников предприятия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'Расчет заработной платы'!G5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'Расчет заработной платы'!$B$6:$B$12</f>
            </numRef>
          </cat>
          <val>
            <numRef>
              <f>'Расчет заработной платы'!$G$6:$G$12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Сотрудники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к выдаче (руб.)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выплат</a:t>
            </a:r>
          </a:p>
        </rich>
      </tx>
    </title>
    <plotArea>
      <pieChart>
        <varyColors val="1"/>
        <ser>
          <idx val="0"/>
          <order val="0"/>
          <tx>
            <strRef>
              <f>'Расчет заработной платы'!F20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'Расчет заработной платы'!$E$21:$E$22</f>
            </numRef>
          </cat>
          <val>
            <numRef>
              <f>'Расчет заработной платы'!$F$21:$F$22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РАСЧЕТ ЗАРАБОТНОЙ ПЛАТЫ СОТРУДНИКОВ ПРЕДПРИЯТИЯ</t>
        </is>
      </c>
    </row>
    <row r="3">
      <c r="C3" t="inlineStr">
        <is>
          <t>Курс доллара:</t>
        </is>
      </c>
      <c r="D3" s="2" t="n">
        <v>32</v>
      </c>
    </row>
    <row r="5">
      <c r="A5" s="3" t="inlineStr">
        <is>
          <t>№</t>
        </is>
      </c>
      <c r="B5" s="3" t="inlineStr">
        <is>
          <t>Ф.И.О.</t>
        </is>
      </c>
      <c r="C5" s="3" t="inlineStr">
        <is>
          <t>Оклад (руб.)</t>
        </is>
      </c>
      <c r="D5" s="3" t="inlineStr">
        <is>
          <t>Премия (руб.)</t>
        </is>
      </c>
      <c r="E5" s="3" t="inlineStr">
        <is>
          <t>Итого начислено (руб.)</t>
        </is>
      </c>
      <c r="F5" s="3" t="inlineStr">
        <is>
          <t>Подоходный налог (руб.)</t>
        </is>
      </c>
      <c r="G5" s="3" t="inlineStr">
        <is>
          <t>Сумма к выдаче (руб.)</t>
        </is>
      </c>
      <c r="H5" s="3" t="inlineStr">
        <is>
          <t>Сумма к выдаче ($)</t>
        </is>
      </c>
    </row>
    <row r="6">
      <c r="A6" t="n">
        <v>1</v>
      </c>
      <c r="B6" t="inlineStr">
        <is>
          <t>Иванов Иван Иванович</t>
        </is>
      </c>
      <c r="C6" s="4" t="n">
        <v>25000</v>
      </c>
      <c r="D6" s="4">
        <f>C6*0.2</f>
        <v/>
      </c>
      <c r="E6" s="4">
        <f>C6+D6</f>
        <v/>
      </c>
      <c r="F6" s="4">
        <f>E6*0.13</f>
        <v/>
      </c>
      <c r="G6" s="4">
        <f>E6-F6</f>
        <v/>
      </c>
      <c r="H6" s="5">
        <f>G6/$D$3</f>
        <v/>
      </c>
    </row>
    <row r="7">
      <c r="A7" t="n">
        <v>2</v>
      </c>
      <c r="B7" t="inlineStr">
        <is>
          <t>Петров Петр Петрович</t>
        </is>
      </c>
      <c r="C7" s="4" t="n">
        <v>30000</v>
      </c>
      <c r="D7" s="4">
        <f>C7*0.2</f>
        <v/>
      </c>
      <c r="E7" s="4">
        <f>C7+D7</f>
        <v/>
      </c>
      <c r="F7" s="4">
        <f>E7*0.13</f>
        <v/>
      </c>
      <c r="G7" s="4">
        <f>E7-F7</f>
        <v/>
      </c>
      <c r="H7" s="5">
        <f>G7/$D$3</f>
        <v/>
      </c>
    </row>
    <row r="8">
      <c r="A8" t="n">
        <v>3</v>
      </c>
      <c r="B8" t="inlineStr">
        <is>
          <t>Сидорова Анна Сергеевна</t>
        </is>
      </c>
      <c r="C8" s="4" t="n">
        <v>28000</v>
      </c>
      <c r="D8" s="4">
        <f>C8*0.2</f>
        <v/>
      </c>
      <c r="E8" s="4">
        <f>C8+D8</f>
        <v/>
      </c>
      <c r="F8" s="4">
        <f>E8*0.13</f>
        <v/>
      </c>
      <c r="G8" s="4">
        <f>E8-F8</f>
        <v/>
      </c>
      <c r="H8" s="5">
        <f>G8/$D$3</f>
        <v/>
      </c>
    </row>
    <row r="9">
      <c r="A9" t="n">
        <v>4</v>
      </c>
      <c r="B9" t="inlineStr">
        <is>
          <t>Кузнецов Сергей Александрович</t>
        </is>
      </c>
      <c r="C9" s="4" t="n">
        <v>35000</v>
      </c>
      <c r="D9" s="4">
        <f>C9*0.2</f>
        <v/>
      </c>
      <c r="E9" s="4">
        <f>C9+D9</f>
        <v/>
      </c>
      <c r="F9" s="4">
        <f>E9*0.13</f>
        <v/>
      </c>
      <c r="G9" s="4">
        <f>E9-F9</f>
        <v/>
      </c>
      <c r="H9" s="5">
        <f>G9/$D$3</f>
        <v/>
      </c>
    </row>
    <row r="10">
      <c r="A10" t="n">
        <v>5</v>
      </c>
      <c r="B10" t="inlineStr">
        <is>
          <t>Васильева Мария Дмитриевна</t>
        </is>
      </c>
      <c r="C10" s="4" t="n">
        <v>27000</v>
      </c>
      <c r="D10" s="4">
        <f>C10*0.2</f>
        <v/>
      </c>
      <c r="E10" s="4">
        <f>C10+D10</f>
        <v/>
      </c>
      <c r="F10" s="4">
        <f>E10*0.13</f>
        <v/>
      </c>
      <c r="G10" s="4">
        <f>E10-F10</f>
        <v/>
      </c>
      <c r="H10" s="5">
        <f>G10/$D$3</f>
        <v/>
      </c>
    </row>
    <row r="11">
      <c r="A11" t="n">
        <v>6</v>
      </c>
      <c r="B11" t="inlineStr">
        <is>
          <t>Смирнов Алексей Викторович</t>
        </is>
      </c>
      <c r="C11" s="4" t="n">
        <v>32000</v>
      </c>
      <c r="D11" s="4">
        <f>C11*0.2</f>
        <v/>
      </c>
      <c r="E11" s="4">
        <f>C11+D11</f>
        <v/>
      </c>
      <c r="F11" s="4">
        <f>E11*0.13</f>
        <v/>
      </c>
      <c r="G11" s="4">
        <f>E11-F11</f>
        <v/>
      </c>
      <c r="H11" s="5">
        <f>G11/$D$3</f>
        <v/>
      </c>
    </row>
    <row r="12">
      <c r="A12" t="n">
        <v>7</v>
      </c>
      <c r="B12" t="inlineStr">
        <is>
          <t>Новикова Елена Павловна</t>
        </is>
      </c>
      <c r="C12" s="4" t="n">
        <v>29000</v>
      </c>
      <c r="D12" s="4">
        <f>C12*0.2</f>
        <v/>
      </c>
      <c r="E12" s="4">
        <f>C12+D12</f>
        <v/>
      </c>
      <c r="F12" s="4">
        <f>E12*0.13</f>
        <v/>
      </c>
      <c r="G12" s="4">
        <f>E12-F12</f>
        <v/>
      </c>
      <c r="H12" s="5">
        <f>G12/$D$3</f>
        <v/>
      </c>
    </row>
    <row r="13">
      <c r="A13" s="6" t="inlineStr">
        <is>
          <t>ИТОГО:</t>
        </is>
      </c>
      <c r="F13" s="7">
        <f>SUM(F6:F12)</f>
        <v/>
      </c>
      <c r="G13" s="7">
        <f>SUM(G6:G12)</f>
        <v/>
      </c>
      <c r="H13" s="8">
        <f>SUM(H6:H12)</f>
        <v/>
      </c>
    </row>
    <row r="15">
      <c r="A15" t="inlineStr">
        <is>
          <t>Средняя зарплата:</t>
        </is>
      </c>
      <c r="B15" s="4">
        <f>AVERAGE(G6:G12)</f>
        <v/>
      </c>
    </row>
    <row r="16">
      <c r="A16" t="inlineStr">
        <is>
          <t>Минимальная зарплата:</t>
        </is>
      </c>
      <c r="B16" s="4">
        <f>MIN(G6:G12)</f>
        <v/>
      </c>
    </row>
    <row r="17">
      <c r="A17" t="inlineStr">
        <is>
          <t>Максимальная зарплата:</t>
        </is>
      </c>
      <c r="B17" s="4">
        <f>MAX(G6:G12)</f>
        <v/>
      </c>
    </row>
    <row r="20">
      <c r="E20" t="inlineStr">
        <is>
          <t>Категория</t>
        </is>
      </c>
      <c r="F20" t="inlineStr">
        <is>
          <t>Сумма</t>
        </is>
      </c>
    </row>
    <row r="21">
      <c r="E21" t="inlineStr">
        <is>
          <t>К выдаче</t>
        </is>
      </c>
      <c r="F21">
        <f>G13</f>
        <v/>
      </c>
    </row>
    <row r="22">
      <c r="E22" t="inlineStr">
        <is>
          <t>Налоги</t>
        </is>
      </c>
      <c r="F22">
        <f>F13</f>
        <v/>
      </c>
    </row>
  </sheetData>
  <mergeCells count="2">
    <mergeCell ref="A1:J1"/>
    <mergeCell ref="A13:E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Список сотрудников</t>
        </is>
      </c>
    </row>
    <row r="2">
      <c r="A2" t="inlineStr">
        <is>
          <t>Иванов Иван Иванович</t>
        </is>
      </c>
    </row>
    <row r="3">
      <c r="A3" t="inlineStr">
        <is>
          <t>Петров Петр Петрович</t>
        </is>
      </c>
    </row>
    <row r="4">
      <c r="A4" t="inlineStr">
        <is>
          <t>Сидорова Анна Сергеевна</t>
        </is>
      </c>
    </row>
    <row r="5">
      <c r="A5" t="inlineStr">
        <is>
          <t>Кузнецов Сергей Александрович</t>
        </is>
      </c>
    </row>
    <row r="6">
      <c r="A6" t="inlineStr">
        <is>
          <t>Васильева Мария Дмитриевна</t>
        </is>
      </c>
    </row>
    <row r="7">
      <c r="A7" t="inlineStr">
        <is>
          <t>Смирнов Алексей Викторович</t>
        </is>
      </c>
    </row>
    <row r="8">
      <c r="A8" t="inlineStr">
        <is>
          <t>Новикова Елена Павловна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2026-02-13T07:32:36Z</dcterms:created>
  <dcterms:modified xmlns:dcterms="http://purl.org/dc/terms/" xmlns:xsi="http://www.w3.org/2001/XMLSchema-instance" xsi:type="dcterms:W3CDTF">2026-02-13T07:32:36Z</dcterms:modified>
</cp:coreProperties>
</file>