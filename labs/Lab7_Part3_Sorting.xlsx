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ртировка" sheetId="1" state="visible" r:id="rId1"/>
    <sheet xmlns:r="http://schemas.openxmlformats.org/officeDocument/2006/relationships" name="Итоги" sheetId="2" state="visible" r:id="rId2"/>
    <sheet xmlns:r="http://schemas.openxmlformats.org/officeDocument/2006/relationships" name="Фильтр" sheetId="3" state="visible" r:id="rId3"/>
  </sheets>
  <definedNames>
    <definedName name="_xlnm._FilterDatabase" localSheetId="2" hidden="1">'Фильтр'!$A$3:$G$18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4" fillId="0" borderId="0" applyAlignment="1" pivotButton="0" quotePrefix="0" xfId="0">
      <alignment horizontal="right"/>
    </xf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5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УЧЕТ ТОВАРОВ НА СКЛАДЕ</t>
        </is>
      </c>
    </row>
    <row r="2"/>
    <row r="3">
      <c r="A3" s="2" t="inlineStr">
        <is>
          <t>№</t>
        </is>
      </c>
      <c r="B3" s="2" t="inlineStr">
        <is>
          <t>Код товара</t>
        </is>
      </c>
      <c r="C3" s="2" t="inlineStr">
        <is>
          <t>Наименование товара</t>
        </is>
      </c>
      <c r="D3" s="2" t="inlineStr">
        <is>
          <t>Дата поступления</t>
        </is>
      </c>
      <c r="E3" s="2" t="inlineStr">
        <is>
          <t>Количество</t>
        </is>
      </c>
      <c r="F3" s="2" t="inlineStr">
        <is>
          <t>Цена (руб.)</t>
        </is>
      </c>
      <c r="G3" s="2" t="inlineStr">
        <is>
          <t>Стоимость (руб.)</t>
        </is>
      </c>
    </row>
    <row r="4">
      <c r="A4" t="n">
        <v>7</v>
      </c>
      <c r="B4" t="inlineStr">
        <is>
          <t>T1584</t>
        </is>
      </c>
      <c r="C4" t="inlineStr">
        <is>
          <t>Клавиатура</t>
        </is>
      </c>
      <c r="D4" t="inlineStr">
        <is>
          <t>17.01.2024</t>
        </is>
      </c>
      <c r="E4" t="n">
        <v>39</v>
      </c>
      <c r="F4" s="3" t="n">
        <v>1458</v>
      </c>
      <c r="G4" s="3">
        <f>E4*F4</f>
        <v/>
      </c>
    </row>
    <row r="5">
      <c r="A5" t="n">
        <v>15</v>
      </c>
      <c r="B5" t="inlineStr">
        <is>
          <t>T1019</t>
        </is>
      </c>
      <c r="C5" t="inlineStr">
        <is>
          <t>Клавиатура</t>
        </is>
      </c>
      <c r="D5" t="inlineStr">
        <is>
          <t>31.01.2024</t>
        </is>
      </c>
      <c r="E5" t="n">
        <v>29</v>
      </c>
      <c r="F5" s="3" t="n">
        <v>1278</v>
      </c>
      <c r="G5" s="3">
        <f>E5*F5</f>
        <v/>
      </c>
    </row>
    <row r="6">
      <c r="A6" t="n">
        <v>9</v>
      </c>
      <c r="B6" t="inlineStr">
        <is>
          <t>T4258</t>
        </is>
      </c>
      <c r="C6" t="inlineStr">
        <is>
          <t>Клавиатура</t>
        </is>
      </c>
      <c r="D6" t="inlineStr">
        <is>
          <t>28.02.2024</t>
        </is>
      </c>
      <c r="E6" t="n">
        <v>19</v>
      </c>
      <c r="F6" s="3" t="n">
        <v>1548</v>
      </c>
      <c r="G6" s="3">
        <f>E6*F6</f>
        <v/>
      </c>
    </row>
    <row r="7">
      <c r="A7" t="n">
        <v>6</v>
      </c>
      <c r="B7" t="inlineStr">
        <is>
          <t>T3949</t>
        </is>
      </c>
      <c r="C7" t="inlineStr">
        <is>
          <t>Клавиатура</t>
        </is>
      </c>
      <c r="D7" t="inlineStr">
        <is>
          <t>13.03.2024</t>
        </is>
      </c>
      <c r="E7" t="n">
        <v>14</v>
      </c>
      <c r="F7" s="3" t="n">
        <v>1899</v>
      </c>
      <c r="G7" s="3">
        <f>E7*F7</f>
        <v/>
      </c>
    </row>
    <row r="8">
      <c r="A8" t="n">
        <v>14</v>
      </c>
      <c r="B8" t="inlineStr">
        <is>
          <t>T5171</t>
        </is>
      </c>
      <c r="C8" t="inlineStr">
        <is>
          <t>Компьютер</t>
        </is>
      </c>
      <c r="D8" t="inlineStr">
        <is>
          <t>26.01.2024</t>
        </is>
      </c>
      <c r="E8" t="n">
        <v>32</v>
      </c>
      <c r="F8" s="3" t="n">
        <v>64663</v>
      </c>
      <c r="G8" s="3">
        <f>E8*F8</f>
        <v/>
      </c>
    </row>
    <row r="9">
      <c r="A9" t="n">
        <v>5</v>
      </c>
      <c r="B9" t="inlineStr">
        <is>
          <t>T7525</t>
        </is>
      </c>
      <c r="C9" t="inlineStr">
        <is>
          <t>Компьютер</t>
        </is>
      </c>
      <c r="D9" t="inlineStr">
        <is>
          <t>11.02.2024</t>
        </is>
      </c>
      <c r="E9" t="n">
        <v>37</v>
      </c>
      <c r="F9" s="3" t="n">
        <v>50948</v>
      </c>
      <c r="G9" s="3">
        <f>E9*F9</f>
        <v/>
      </c>
    </row>
    <row r="10">
      <c r="A10" t="n">
        <v>10</v>
      </c>
      <c r="B10" t="inlineStr">
        <is>
          <t>T4783</t>
        </is>
      </c>
      <c r="C10" t="inlineStr">
        <is>
          <t>Компьютер</t>
        </is>
      </c>
      <c r="D10" t="inlineStr">
        <is>
          <t>17.03.2024</t>
        </is>
      </c>
      <c r="E10" t="n">
        <v>46</v>
      </c>
      <c r="F10" s="3" t="n">
        <v>54080</v>
      </c>
      <c r="G10" s="3">
        <f>E10*F10</f>
        <v/>
      </c>
    </row>
    <row r="11">
      <c r="A11" t="n">
        <v>4</v>
      </c>
      <c r="B11" t="inlineStr">
        <is>
          <t>T8449</t>
        </is>
      </c>
      <c r="C11" t="inlineStr">
        <is>
          <t>Монитор</t>
        </is>
      </c>
      <c r="D11" t="inlineStr">
        <is>
          <t>23.01.2024</t>
        </is>
      </c>
      <c r="E11" t="n">
        <v>10</v>
      </c>
      <c r="F11" s="3" t="n">
        <v>10779</v>
      </c>
      <c r="G11" s="3">
        <f>E11*F11</f>
        <v/>
      </c>
    </row>
    <row r="12">
      <c r="A12" t="n">
        <v>3</v>
      </c>
      <c r="B12" t="inlineStr">
        <is>
          <t>T9126</t>
        </is>
      </c>
      <c r="C12" t="inlineStr">
        <is>
          <t>Монитор</t>
        </is>
      </c>
      <c r="D12" t="inlineStr">
        <is>
          <t>29.02.2024</t>
        </is>
      </c>
      <c r="E12" t="n">
        <v>20</v>
      </c>
      <c r="F12" s="3" t="n">
        <v>13339</v>
      </c>
      <c r="G12" s="3">
        <f>E12*F12</f>
        <v/>
      </c>
    </row>
    <row r="13">
      <c r="A13" t="n">
        <v>1</v>
      </c>
      <c r="B13" t="inlineStr">
        <is>
          <t>T5864</t>
        </is>
      </c>
      <c r="C13" t="inlineStr">
        <is>
          <t>Монитор</t>
        </is>
      </c>
      <c r="D13" t="inlineStr">
        <is>
          <t>21.03.2024</t>
        </is>
      </c>
      <c r="E13" t="n">
        <v>39</v>
      </c>
      <c r="F13" s="3" t="n">
        <v>14644</v>
      </c>
      <c r="G13" s="3">
        <f>E13*F13</f>
        <v/>
      </c>
    </row>
    <row r="14">
      <c r="A14" t="n">
        <v>2</v>
      </c>
      <c r="B14" t="inlineStr">
        <is>
          <t>T3609</t>
        </is>
      </c>
      <c r="C14" t="inlineStr">
        <is>
          <t>Монитор</t>
        </is>
      </c>
      <c r="D14" t="inlineStr">
        <is>
          <t>06.04.2024</t>
        </is>
      </c>
      <c r="E14" t="n">
        <v>44</v>
      </c>
      <c r="F14" s="3" t="n">
        <v>21512</v>
      </c>
      <c r="G14" s="3">
        <f>E14*F14</f>
        <v/>
      </c>
    </row>
    <row r="15">
      <c r="A15" t="n">
        <v>12</v>
      </c>
      <c r="B15" t="inlineStr">
        <is>
          <t>T4428</t>
        </is>
      </c>
      <c r="C15" t="inlineStr">
        <is>
          <t>Мышь</t>
        </is>
      </c>
      <c r="D15" t="inlineStr">
        <is>
          <t>12.03.2024</t>
        </is>
      </c>
      <c r="E15" t="n">
        <v>47</v>
      </c>
      <c r="F15" s="3" t="n">
        <v>846</v>
      </c>
      <c r="G15" s="3">
        <f>E15*F15</f>
        <v/>
      </c>
    </row>
    <row r="16">
      <c r="A16" t="n">
        <v>8</v>
      </c>
      <c r="B16" t="inlineStr">
        <is>
          <t>T9176</t>
        </is>
      </c>
      <c r="C16" t="inlineStr">
        <is>
          <t>Мышь</t>
        </is>
      </c>
      <c r="D16" t="inlineStr">
        <is>
          <t>28.03.2024</t>
        </is>
      </c>
      <c r="E16" t="n">
        <v>32</v>
      </c>
      <c r="F16" s="3" t="n">
        <v>514</v>
      </c>
      <c r="G16" s="3">
        <f>E16*F16</f>
        <v/>
      </c>
    </row>
    <row r="17">
      <c r="A17" t="n">
        <v>13</v>
      </c>
      <c r="B17" t="inlineStr">
        <is>
          <t>T7516</t>
        </is>
      </c>
      <c r="C17" t="inlineStr">
        <is>
          <t>Ноутбук</t>
        </is>
      </c>
      <c r="D17" t="inlineStr">
        <is>
          <t>19.01.2024</t>
        </is>
      </c>
      <c r="E17" t="n">
        <v>41</v>
      </c>
      <c r="F17" s="3" t="n">
        <v>43432</v>
      </c>
      <c r="G17" s="3">
        <f>E17*F17</f>
        <v/>
      </c>
    </row>
    <row r="18">
      <c r="A18" t="n">
        <v>11</v>
      </c>
      <c r="B18" t="inlineStr">
        <is>
          <t>T8729</t>
        </is>
      </c>
      <c r="C18" t="inlineStr">
        <is>
          <t>Ноутбук</t>
        </is>
      </c>
      <c r="D18" t="inlineStr">
        <is>
          <t>06.03.2024</t>
        </is>
      </c>
      <c r="E18" t="n">
        <v>13</v>
      </c>
      <c r="F18" s="3" t="n">
        <v>40920</v>
      </c>
      <c r="G18" s="3">
        <f>E18*F18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5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УЧЕТ ТОВАРОВ НА СКЛАДЕ</t>
        </is>
      </c>
    </row>
    <row r="2"/>
    <row r="3">
      <c r="A3" s="2" t="inlineStr">
        <is>
          <t>№</t>
        </is>
      </c>
      <c r="B3" s="2" t="inlineStr">
        <is>
          <t>Код товара</t>
        </is>
      </c>
      <c r="C3" s="2" t="inlineStr">
        <is>
          <t>Наименование товара</t>
        </is>
      </c>
      <c r="D3" s="2" t="inlineStr">
        <is>
          <t>Дата поступления</t>
        </is>
      </c>
      <c r="E3" s="2" t="inlineStr">
        <is>
          <t>Количество</t>
        </is>
      </c>
      <c r="F3" s="2" t="inlineStr">
        <is>
          <t>Цена (руб.)</t>
        </is>
      </c>
      <c r="G3" s="2" t="inlineStr">
        <is>
          <t>Стоимость (руб.)</t>
        </is>
      </c>
    </row>
    <row r="4">
      <c r="A4" t="n">
        <v>7</v>
      </c>
      <c r="B4" t="inlineStr">
        <is>
          <t>T1584</t>
        </is>
      </c>
      <c r="C4" t="inlineStr">
        <is>
          <t>Клавиатура</t>
        </is>
      </c>
      <c r="D4" t="inlineStr">
        <is>
          <t>17.01.2024</t>
        </is>
      </c>
      <c r="E4" t="n">
        <v>39</v>
      </c>
      <c r="F4" s="3" t="n">
        <v>1458</v>
      </c>
      <c r="G4" s="3">
        <f>E4*F4</f>
        <v/>
      </c>
    </row>
    <row r="5">
      <c r="A5" t="n">
        <v>15</v>
      </c>
      <c r="B5" t="inlineStr">
        <is>
          <t>T1019</t>
        </is>
      </c>
      <c r="C5" t="inlineStr">
        <is>
          <t>Клавиатура</t>
        </is>
      </c>
      <c r="D5" t="inlineStr">
        <is>
          <t>31.01.2024</t>
        </is>
      </c>
      <c r="E5" t="n">
        <v>29</v>
      </c>
      <c r="F5" s="3" t="n">
        <v>1278</v>
      </c>
      <c r="G5" s="3">
        <f>E5*F5</f>
        <v/>
      </c>
    </row>
    <row r="6">
      <c r="A6" t="n">
        <v>9</v>
      </c>
      <c r="B6" t="inlineStr">
        <is>
          <t>T4258</t>
        </is>
      </c>
      <c r="C6" t="inlineStr">
        <is>
          <t>Клавиатура</t>
        </is>
      </c>
      <c r="D6" t="inlineStr">
        <is>
          <t>28.02.2024</t>
        </is>
      </c>
      <c r="E6" t="n">
        <v>19</v>
      </c>
      <c r="F6" s="3" t="n">
        <v>1548</v>
      </c>
      <c r="G6" s="3">
        <f>E6*F6</f>
        <v/>
      </c>
    </row>
    <row r="7">
      <c r="A7" t="n">
        <v>6</v>
      </c>
      <c r="B7" t="inlineStr">
        <is>
          <t>T3949</t>
        </is>
      </c>
      <c r="C7" t="inlineStr">
        <is>
          <t>Клавиатура</t>
        </is>
      </c>
      <c r="D7" t="inlineStr">
        <is>
          <t>13.03.2024</t>
        </is>
      </c>
      <c r="E7" t="n">
        <v>14</v>
      </c>
      <c r="F7" s="3" t="n">
        <v>1899</v>
      </c>
      <c r="G7" s="3">
        <f>E7*F7</f>
        <v/>
      </c>
    </row>
    <row r="8">
      <c r="A8" s="4" t="inlineStr">
        <is>
          <t>Итого по Клавиатура:</t>
        </is>
      </c>
      <c r="G8" s="5">
        <f>SUBTOTAL(9, G4:G7)</f>
        <v/>
      </c>
    </row>
    <row r="9">
      <c r="A9" t="n">
        <v>14</v>
      </c>
      <c r="B9" t="inlineStr">
        <is>
          <t>T5171</t>
        </is>
      </c>
      <c r="C9" t="inlineStr">
        <is>
          <t>Компьютер</t>
        </is>
      </c>
      <c r="D9" t="inlineStr">
        <is>
          <t>26.01.2024</t>
        </is>
      </c>
      <c r="E9" t="n">
        <v>32</v>
      </c>
      <c r="F9" s="3" t="n">
        <v>64663</v>
      </c>
      <c r="G9" s="3">
        <f>E8*F8</f>
        <v/>
      </c>
    </row>
    <row r="10">
      <c r="A10" t="n">
        <v>5</v>
      </c>
      <c r="B10" t="inlineStr">
        <is>
          <t>T7525</t>
        </is>
      </c>
      <c r="C10" t="inlineStr">
        <is>
          <t>Компьютер</t>
        </is>
      </c>
      <c r="D10" t="inlineStr">
        <is>
          <t>11.02.2024</t>
        </is>
      </c>
      <c r="E10" t="n">
        <v>37</v>
      </c>
      <c r="F10" s="3" t="n">
        <v>50948</v>
      </c>
      <c r="G10" s="3">
        <f>E9*F9</f>
        <v/>
      </c>
    </row>
    <row r="11">
      <c r="A11" t="n">
        <v>10</v>
      </c>
      <c r="B11" t="inlineStr">
        <is>
          <t>T4783</t>
        </is>
      </c>
      <c r="C11" t="inlineStr">
        <is>
          <t>Компьютер</t>
        </is>
      </c>
      <c r="D11" t="inlineStr">
        <is>
          <t>17.03.2024</t>
        </is>
      </c>
      <c r="E11" t="n">
        <v>46</v>
      </c>
      <c r="F11" s="3" t="n">
        <v>54080</v>
      </c>
      <c r="G11" s="3">
        <f>E10*F10</f>
        <v/>
      </c>
    </row>
    <row r="12">
      <c r="A12" s="4" t="inlineStr">
        <is>
          <t>Итого по Компьютер:</t>
        </is>
      </c>
      <c r="G12" s="5">
        <f>SUBTOTAL(9, G8:G11)</f>
        <v/>
      </c>
    </row>
    <row r="13">
      <c r="A13" t="n">
        <v>4</v>
      </c>
      <c r="B13" t="inlineStr">
        <is>
          <t>T8449</t>
        </is>
      </c>
      <c r="C13" t="inlineStr">
        <is>
          <t>Монитор</t>
        </is>
      </c>
      <c r="D13" t="inlineStr">
        <is>
          <t>23.01.2024</t>
        </is>
      </c>
      <c r="E13" t="n">
        <v>10</v>
      </c>
      <c r="F13" s="3" t="n">
        <v>10779</v>
      </c>
      <c r="G13" s="3">
        <f>E11*F11</f>
        <v/>
      </c>
    </row>
    <row r="14">
      <c r="A14" t="n">
        <v>3</v>
      </c>
      <c r="B14" t="inlineStr">
        <is>
          <t>T9126</t>
        </is>
      </c>
      <c r="C14" t="inlineStr">
        <is>
          <t>Монитор</t>
        </is>
      </c>
      <c r="D14" t="inlineStr">
        <is>
          <t>29.02.2024</t>
        </is>
      </c>
      <c r="E14" t="n">
        <v>20</v>
      </c>
      <c r="F14" s="3" t="n">
        <v>13339</v>
      </c>
      <c r="G14" s="3">
        <f>E12*F12</f>
        <v/>
      </c>
    </row>
    <row r="15">
      <c r="A15" t="n">
        <v>1</v>
      </c>
      <c r="B15" t="inlineStr">
        <is>
          <t>T5864</t>
        </is>
      </c>
      <c r="C15" t="inlineStr">
        <is>
          <t>Монитор</t>
        </is>
      </c>
      <c r="D15" t="inlineStr">
        <is>
          <t>21.03.2024</t>
        </is>
      </c>
      <c r="E15" t="n">
        <v>39</v>
      </c>
      <c r="F15" s="3" t="n">
        <v>14644</v>
      </c>
      <c r="G15" s="3">
        <f>E13*F13</f>
        <v/>
      </c>
    </row>
    <row r="16">
      <c r="A16" t="n">
        <v>2</v>
      </c>
      <c r="B16" t="inlineStr">
        <is>
          <t>T3609</t>
        </is>
      </c>
      <c r="C16" t="inlineStr">
        <is>
          <t>Монитор</t>
        </is>
      </c>
      <c r="D16" t="inlineStr">
        <is>
          <t>06.04.2024</t>
        </is>
      </c>
      <c r="E16" t="n">
        <v>44</v>
      </c>
      <c r="F16" s="3" t="n">
        <v>21512</v>
      </c>
      <c r="G16" s="3">
        <f>E14*F14</f>
        <v/>
      </c>
    </row>
    <row r="17">
      <c r="A17" s="4" t="inlineStr">
        <is>
          <t>Итого по Монитор:</t>
        </is>
      </c>
      <c r="G17" s="5">
        <f>SUBTOTAL(9, G12:G16)</f>
        <v/>
      </c>
    </row>
    <row r="18">
      <c r="A18" t="n">
        <v>12</v>
      </c>
      <c r="B18" t="inlineStr">
        <is>
          <t>T4428</t>
        </is>
      </c>
      <c r="C18" t="inlineStr">
        <is>
          <t>Мышь</t>
        </is>
      </c>
      <c r="D18" t="inlineStr">
        <is>
          <t>12.03.2024</t>
        </is>
      </c>
      <c r="E18" t="n">
        <v>47</v>
      </c>
      <c r="F18" s="3" t="n">
        <v>846</v>
      </c>
      <c r="G18" s="3">
        <f>E15*F15</f>
        <v/>
      </c>
    </row>
    <row r="19">
      <c r="A19" t="n">
        <v>8</v>
      </c>
      <c r="B19" t="inlineStr">
        <is>
          <t>T9176</t>
        </is>
      </c>
      <c r="C19" t="inlineStr">
        <is>
          <t>Мышь</t>
        </is>
      </c>
      <c r="D19" t="inlineStr">
        <is>
          <t>28.03.2024</t>
        </is>
      </c>
      <c r="E19" t="n">
        <v>32</v>
      </c>
      <c r="F19" s="3" t="n">
        <v>514</v>
      </c>
      <c r="G19" s="3">
        <f>E16*F16</f>
        <v/>
      </c>
    </row>
    <row r="20">
      <c r="A20" s="4" t="inlineStr">
        <is>
          <t>Итого по Мышь:</t>
        </is>
      </c>
      <c r="G20" s="5">
        <f>SUBTOTAL(9, G17:G19)</f>
        <v/>
      </c>
    </row>
    <row r="21">
      <c r="A21" t="n">
        <v>13</v>
      </c>
      <c r="B21" t="inlineStr">
        <is>
          <t>T7516</t>
        </is>
      </c>
      <c r="C21" t="inlineStr">
        <is>
          <t>Ноутбук</t>
        </is>
      </c>
      <c r="D21" t="inlineStr">
        <is>
          <t>19.01.2024</t>
        </is>
      </c>
      <c r="E21" t="n">
        <v>41</v>
      </c>
      <c r="F21" s="3" t="n">
        <v>43432</v>
      </c>
      <c r="G21" s="3">
        <f>E17*F17</f>
        <v/>
      </c>
    </row>
    <row r="22">
      <c r="A22" t="n">
        <v>11</v>
      </c>
      <c r="B22" t="inlineStr">
        <is>
          <t>T8729</t>
        </is>
      </c>
      <c r="C22" t="inlineStr">
        <is>
          <t>Ноутбук</t>
        </is>
      </c>
      <c r="D22" t="inlineStr">
        <is>
          <t>06.03.2024</t>
        </is>
      </c>
      <c r="E22" t="n">
        <v>13</v>
      </c>
      <c r="F22" s="3" t="n">
        <v>40920</v>
      </c>
      <c r="G22" s="3">
        <f>E18*F18</f>
        <v/>
      </c>
    </row>
    <row r="23">
      <c r="A23" s="4" t="inlineStr">
        <is>
          <t>Итого по Ноутбук:</t>
        </is>
      </c>
      <c r="G23" s="5">
        <f>SUBTOTAL(9, G20:G22)</f>
        <v/>
      </c>
    </row>
    <row r="24">
      <c r="A24" s="6" t="inlineStr">
        <is>
          <t>ОБЩИЙ ИТОГ:</t>
        </is>
      </c>
      <c r="G24" s="7">
        <f>SUBTOTAL(9, G4:G23)</f>
        <v/>
      </c>
    </row>
  </sheetData>
  <mergeCells count="6">
    <mergeCell ref="A24:F24"/>
    <mergeCell ref="A23:F23"/>
    <mergeCell ref="A8:F8"/>
    <mergeCell ref="A17:F17"/>
    <mergeCell ref="A12:F12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5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УЧЕТ ТОВАРОВ НА СКЛАДЕ</t>
        </is>
      </c>
    </row>
    <row r="2"/>
    <row r="3">
      <c r="A3" s="2" t="inlineStr">
        <is>
          <t>№</t>
        </is>
      </c>
      <c r="B3" s="2" t="inlineStr">
        <is>
          <t>Код товара</t>
        </is>
      </c>
      <c r="C3" s="2" t="inlineStr">
        <is>
          <t>Наименование товара</t>
        </is>
      </c>
      <c r="D3" s="2" t="inlineStr">
        <is>
          <t>Дата поступления</t>
        </is>
      </c>
      <c r="E3" s="2" t="inlineStr">
        <is>
          <t>Количество</t>
        </is>
      </c>
      <c r="F3" s="2" t="inlineStr">
        <is>
          <t>Цена (руб.)</t>
        </is>
      </c>
      <c r="G3" s="2" t="inlineStr">
        <is>
          <t>Стоимость (руб.)</t>
        </is>
      </c>
    </row>
    <row r="4">
      <c r="A4" t="n">
        <v>7</v>
      </c>
      <c r="B4" t="inlineStr">
        <is>
          <t>T1584</t>
        </is>
      </c>
      <c r="C4" t="inlineStr">
        <is>
          <t>Клавиатура</t>
        </is>
      </c>
      <c r="D4" t="inlineStr">
        <is>
          <t>17.01.2024</t>
        </is>
      </c>
      <c r="E4" t="n">
        <v>39</v>
      </c>
      <c r="F4" s="3" t="n">
        <v>1458</v>
      </c>
      <c r="G4" s="3">
        <f>E4*F4</f>
        <v/>
      </c>
    </row>
    <row r="5">
      <c r="A5" t="n">
        <v>15</v>
      </c>
      <c r="B5" t="inlineStr">
        <is>
          <t>T1019</t>
        </is>
      </c>
      <c r="C5" t="inlineStr">
        <is>
          <t>Клавиатура</t>
        </is>
      </c>
      <c r="D5" t="inlineStr">
        <is>
          <t>31.01.2024</t>
        </is>
      </c>
      <c r="E5" t="n">
        <v>29</v>
      </c>
      <c r="F5" s="3" t="n">
        <v>1278</v>
      </c>
      <c r="G5" s="3">
        <f>E5*F5</f>
        <v/>
      </c>
    </row>
    <row r="6">
      <c r="A6" t="n">
        <v>9</v>
      </c>
      <c r="B6" t="inlineStr">
        <is>
          <t>T4258</t>
        </is>
      </c>
      <c r="C6" t="inlineStr">
        <is>
          <t>Клавиатура</t>
        </is>
      </c>
      <c r="D6" t="inlineStr">
        <is>
          <t>28.02.2024</t>
        </is>
      </c>
      <c r="E6" t="n">
        <v>19</v>
      </c>
      <c r="F6" s="3" t="n">
        <v>1548</v>
      </c>
      <c r="G6" s="3">
        <f>E6*F6</f>
        <v/>
      </c>
    </row>
    <row r="7">
      <c r="A7" t="n">
        <v>6</v>
      </c>
      <c r="B7" t="inlineStr">
        <is>
          <t>T3949</t>
        </is>
      </c>
      <c r="C7" t="inlineStr">
        <is>
          <t>Клавиатура</t>
        </is>
      </c>
      <c r="D7" t="inlineStr">
        <is>
          <t>13.03.2024</t>
        </is>
      </c>
      <c r="E7" t="n">
        <v>14</v>
      </c>
      <c r="F7" s="3" t="n">
        <v>1899</v>
      </c>
      <c r="G7" s="3">
        <f>E7*F7</f>
        <v/>
      </c>
    </row>
    <row r="8">
      <c r="A8" t="n">
        <v>14</v>
      </c>
      <c r="B8" t="inlineStr">
        <is>
          <t>T5171</t>
        </is>
      </c>
      <c r="C8" t="inlineStr">
        <is>
          <t>Компьютер</t>
        </is>
      </c>
      <c r="D8" t="inlineStr">
        <is>
          <t>26.01.2024</t>
        </is>
      </c>
      <c r="E8" t="n">
        <v>32</v>
      </c>
      <c r="F8" s="3" t="n">
        <v>64663</v>
      </c>
      <c r="G8" s="3">
        <f>E8*F8</f>
        <v/>
      </c>
    </row>
    <row r="9">
      <c r="A9" t="n">
        <v>5</v>
      </c>
      <c r="B9" t="inlineStr">
        <is>
          <t>T7525</t>
        </is>
      </c>
      <c r="C9" t="inlineStr">
        <is>
          <t>Компьютер</t>
        </is>
      </c>
      <c r="D9" t="inlineStr">
        <is>
          <t>11.02.2024</t>
        </is>
      </c>
      <c r="E9" t="n">
        <v>37</v>
      </c>
      <c r="F9" s="3" t="n">
        <v>50948</v>
      </c>
      <c r="G9" s="3">
        <f>E9*F9</f>
        <v/>
      </c>
    </row>
    <row r="10">
      <c r="A10" t="n">
        <v>10</v>
      </c>
      <c r="B10" t="inlineStr">
        <is>
          <t>T4783</t>
        </is>
      </c>
      <c r="C10" t="inlineStr">
        <is>
          <t>Компьютер</t>
        </is>
      </c>
      <c r="D10" t="inlineStr">
        <is>
          <t>17.03.2024</t>
        </is>
      </c>
      <c r="E10" t="n">
        <v>46</v>
      </c>
      <c r="F10" s="3" t="n">
        <v>54080</v>
      </c>
      <c r="G10" s="3">
        <f>E10*F10</f>
        <v/>
      </c>
    </row>
    <row r="11">
      <c r="A11" t="n">
        <v>4</v>
      </c>
      <c r="B11" t="inlineStr">
        <is>
          <t>T8449</t>
        </is>
      </c>
      <c r="C11" t="inlineStr">
        <is>
          <t>Монитор</t>
        </is>
      </c>
      <c r="D11" t="inlineStr">
        <is>
          <t>23.01.2024</t>
        </is>
      </c>
      <c r="E11" t="n">
        <v>10</v>
      </c>
      <c r="F11" s="3" t="n">
        <v>10779</v>
      </c>
      <c r="G11" s="3">
        <f>E11*F11</f>
        <v/>
      </c>
    </row>
    <row r="12">
      <c r="A12" t="n">
        <v>3</v>
      </c>
      <c r="B12" t="inlineStr">
        <is>
          <t>T9126</t>
        </is>
      </c>
      <c r="C12" t="inlineStr">
        <is>
          <t>Монитор</t>
        </is>
      </c>
      <c r="D12" t="inlineStr">
        <is>
          <t>29.02.2024</t>
        </is>
      </c>
      <c r="E12" t="n">
        <v>20</v>
      </c>
      <c r="F12" s="3" t="n">
        <v>13339</v>
      </c>
      <c r="G12" s="3">
        <f>E12*F12</f>
        <v/>
      </c>
    </row>
    <row r="13">
      <c r="A13" t="n">
        <v>1</v>
      </c>
      <c r="B13" t="inlineStr">
        <is>
          <t>T5864</t>
        </is>
      </c>
      <c r="C13" t="inlineStr">
        <is>
          <t>Монитор</t>
        </is>
      </c>
      <c r="D13" t="inlineStr">
        <is>
          <t>21.03.2024</t>
        </is>
      </c>
      <c r="E13" t="n">
        <v>39</v>
      </c>
      <c r="F13" s="3" t="n">
        <v>14644</v>
      </c>
      <c r="G13" s="3">
        <f>E13*F13</f>
        <v/>
      </c>
    </row>
    <row r="14">
      <c r="A14" t="n">
        <v>2</v>
      </c>
      <c r="B14" t="inlineStr">
        <is>
          <t>T3609</t>
        </is>
      </c>
      <c r="C14" t="inlineStr">
        <is>
          <t>Монитор</t>
        </is>
      </c>
      <c r="D14" t="inlineStr">
        <is>
          <t>06.04.2024</t>
        </is>
      </c>
      <c r="E14" t="n">
        <v>44</v>
      </c>
      <c r="F14" s="3" t="n">
        <v>21512</v>
      </c>
      <c r="G14" s="3">
        <f>E14*F14</f>
        <v/>
      </c>
    </row>
    <row r="15">
      <c r="A15" t="n">
        <v>12</v>
      </c>
      <c r="B15" t="inlineStr">
        <is>
          <t>T4428</t>
        </is>
      </c>
      <c r="C15" t="inlineStr">
        <is>
          <t>Мышь</t>
        </is>
      </c>
      <c r="D15" t="inlineStr">
        <is>
          <t>12.03.2024</t>
        </is>
      </c>
      <c r="E15" t="n">
        <v>47</v>
      </c>
      <c r="F15" s="3" t="n">
        <v>846</v>
      </c>
      <c r="G15" s="3">
        <f>E15*F15</f>
        <v/>
      </c>
    </row>
    <row r="16">
      <c r="A16" t="n">
        <v>8</v>
      </c>
      <c r="B16" t="inlineStr">
        <is>
          <t>T9176</t>
        </is>
      </c>
      <c r="C16" t="inlineStr">
        <is>
          <t>Мышь</t>
        </is>
      </c>
      <c r="D16" t="inlineStr">
        <is>
          <t>28.03.2024</t>
        </is>
      </c>
      <c r="E16" t="n">
        <v>32</v>
      </c>
      <c r="F16" s="3" t="n">
        <v>514</v>
      </c>
      <c r="G16" s="3">
        <f>E16*F16</f>
        <v/>
      </c>
    </row>
    <row r="17">
      <c r="A17" t="n">
        <v>13</v>
      </c>
      <c r="B17" t="inlineStr">
        <is>
          <t>T7516</t>
        </is>
      </c>
      <c r="C17" t="inlineStr">
        <is>
          <t>Ноутбук</t>
        </is>
      </c>
      <c r="D17" t="inlineStr">
        <is>
          <t>19.01.2024</t>
        </is>
      </c>
      <c r="E17" t="n">
        <v>41</v>
      </c>
      <c r="F17" s="3" t="n">
        <v>43432</v>
      </c>
      <c r="G17" s="3">
        <f>E17*F17</f>
        <v/>
      </c>
    </row>
    <row r="18">
      <c r="A18" t="n">
        <v>11</v>
      </c>
      <c r="B18" t="inlineStr">
        <is>
          <t>T8729</t>
        </is>
      </c>
      <c r="C18" t="inlineStr">
        <is>
          <t>Ноутбук</t>
        </is>
      </c>
      <c r="D18" t="inlineStr">
        <is>
          <t>06.03.2024</t>
        </is>
      </c>
      <c r="E18" t="n">
        <v>13</v>
      </c>
      <c r="F18" s="3" t="n">
        <v>40920</v>
      </c>
      <c r="G18" s="3">
        <f>E18*F18</f>
        <v/>
      </c>
    </row>
  </sheetData>
  <autoFilter ref="A3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2026-02-13T07:32:36Z</dcterms:created>
  <dcterms:modified xmlns:dcterms="http://purl.org/dc/terms/" xmlns:xsi="http://www.w3.org/2001/XMLSchema-instance" xsi:type="dcterms:W3CDTF">2026-02-13T07:32:36Z</dcterms:modified>
</cp:coreProperties>
</file>